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Ace\Desktop\IT\docs\"/>
    </mc:Choice>
  </mc:AlternateContent>
  <xr:revisionPtr revIDLastSave="0" documentId="8_{924262BA-B2FF-4545-BDAD-2535B4DC2E8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1" l="1"/>
  <c r="J16" i="1"/>
</calcChain>
</file>

<file path=xl/sharedStrings.xml><?xml version="1.0" encoding="utf-8"?>
<sst xmlns="http://schemas.openxmlformats.org/spreadsheetml/2006/main" count="45" uniqueCount="35">
  <si>
    <r>
      <rPr>
        <b/>
        <sz val="7.5"/>
        <rFont val="Arial"/>
        <charset val="134"/>
      </rPr>
      <t>Asset Code</t>
    </r>
  </si>
  <si>
    <r>
      <rPr>
        <b/>
        <sz val="7.5"/>
        <rFont val="Arial"/>
        <charset val="134"/>
      </rPr>
      <t>Item No.</t>
    </r>
  </si>
  <si>
    <r>
      <rPr>
        <b/>
        <sz val="7.5"/>
        <rFont val="Arial"/>
        <charset val="134"/>
      </rPr>
      <t>Description</t>
    </r>
  </si>
  <si>
    <r>
      <rPr>
        <b/>
        <sz val="6.5"/>
        <rFont val="Arial"/>
        <charset val="134"/>
      </rPr>
      <t>Qty / Unit</t>
    </r>
  </si>
  <si>
    <r>
      <rPr>
        <b/>
        <sz val="6.5"/>
        <rFont val="Arial"/>
        <charset val="134"/>
      </rPr>
      <t>Country of Origin</t>
    </r>
  </si>
  <si>
    <r>
      <rPr>
        <b/>
        <sz val="7.5"/>
        <rFont val="Arial"/>
        <charset val="134"/>
      </rPr>
      <t>UNIT PRICE</t>
    </r>
  </si>
  <si>
    <r>
      <rPr>
        <b/>
        <sz val="7.5"/>
        <rFont val="Arial"/>
        <charset val="134"/>
      </rPr>
      <t>TOTAL PRICE</t>
    </r>
  </si>
  <si>
    <r>
      <t>Foreign Supply FOB</t>
    </r>
    <r>
      <rPr>
        <b/>
        <i/>
        <sz val="6.5"/>
        <rFont val="Arial"/>
        <charset val="204"/>
      </rPr>
      <t xml:space="preserve">(Offshore)
</t>
    </r>
    <r>
      <rPr>
        <b/>
        <i/>
        <sz val="6.5"/>
        <rFont val="宋体"/>
        <charset val="204"/>
      </rPr>
      <t>（</t>
    </r>
    <r>
      <rPr>
        <b/>
        <i/>
        <sz val="6.5"/>
        <rFont val="Arial"/>
        <charset val="204"/>
      </rPr>
      <t>VAT EXCLUDED</t>
    </r>
    <r>
      <rPr>
        <b/>
        <i/>
        <sz val="6.5"/>
        <rFont val="宋体"/>
        <charset val="204"/>
      </rPr>
      <t>）</t>
    </r>
  </si>
  <si>
    <r>
      <t xml:space="preserve">Survey, Delivery, HW Installation(Onshore) 
</t>
    </r>
    <r>
      <rPr>
        <b/>
        <i/>
        <sz val="6.5"/>
        <rFont val="宋体"/>
        <charset val="204"/>
      </rPr>
      <t>（</t>
    </r>
    <r>
      <rPr>
        <b/>
        <i/>
        <sz val="6.5"/>
        <rFont val="Arial"/>
        <charset val="204"/>
      </rPr>
      <t>VAT EXCLUDED</t>
    </r>
    <r>
      <rPr>
        <b/>
        <i/>
        <sz val="6.5"/>
        <rFont val="宋体"/>
        <charset val="204"/>
      </rPr>
      <t>）</t>
    </r>
  </si>
  <si>
    <r>
      <t>Survey, Delivery, HW Installation</t>
    </r>
    <r>
      <rPr>
        <b/>
        <i/>
        <sz val="6.5"/>
        <rFont val="Arial"/>
        <charset val="204"/>
      </rPr>
      <t xml:space="preserve">(Onshore)
</t>
    </r>
    <r>
      <rPr>
        <b/>
        <i/>
        <sz val="6.5"/>
        <rFont val="宋体"/>
        <charset val="204"/>
      </rPr>
      <t>（</t>
    </r>
    <r>
      <rPr>
        <b/>
        <i/>
        <sz val="6.5"/>
        <rFont val="Arial"/>
        <charset val="204"/>
      </rPr>
      <t>VAT EXCLUDED</t>
    </r>
    <r>
      <rPr>
        <b/>
        <i/>
        <sz val="6.5"/>
        <rFont val="宋体"/>
        <charset val="204"/>
      </rPr>
      <t>）</t>
    </r>
  </si>
  <si>
    <t>(USD)</t>
  </si>
  <si>
    <t>(PHP)</t>
  </si>
  <si>
    <r>
      <rPr>
        <sz val="5.5"/>
        <rFont val="Arial"/>
        <charset val="134"/>
      </rPr>
      <t>( e )</t>
    </r>
  </si>
  <si>
    <r>
      <rPr>
        <sz val="5.5"/>
        <rFont val="Arial"/>
        <charset val="134"/>
      </rPr>
      <t>( a )</t>
    </r>
  </si>
  <si>
    <r>
      <rPr>
        <sz val="5.5"/>
        <rFont val="Arial"/>
        <charset val="134"/>
      </rPr>
      <t>( d )</t>
    </r>
  </si>
  <si>
    <r>
      <rPr>
        <sz val="5.5"/>
        <rFont val="Arial"/>
        <charset val="134"/>
      </rPr>
      <t>( a ) x  ( e )</t>
    </r>
  </si>
  <si>
    <r>
      <rPr>
        <sz val="5.5"/>
        <rFont val="Arial"/>
        <charset val="134"/>
      </rPr>
      <t>( d ) x  ( e )</t>
    </r>
  </si>
  <si>
    <r>
      <rPr>
        <b/>
        <sz val="5.5"/>
        <rFont val="Tahoma"/>
        <charset val="134"/>
      </rPr>
      <t>Server, Computer</t>
    </r>
  </si>
  <si>
    <r>
      <rPr>
        <b/>
        <sz val="5.5"/>
        <rFont val="Tahoma"/>
        <charset val="134"/>
      </rPr>
      <t>Server, Computer (2 TB RAM)</t>
    </r>
  </si>
  <si>
    <r>
      <rPr>
        <sz val="5.5"/>
        <rFont val="Tahoma"/>
        <charset val="134"/>
      </rPr>
      <t>unt</t>
    </r>
  </si>
  <si>
    <r>
      <rPr>
        <b/>
        <sz val="5.5"/>
        <rFont val="Tahoma"/>
        <charset val="134"/>
      </rPr>
      <t>Server, Computer (1 TB RAM)</t>
    </r>
  </si>
  <si>
    <r>
      <rPr>
        <b/>
        <sz val="5.5"/>
        <rFont val="Tahoma"/>
        <charset val="134"/>
      </rPr>
      <t>Storage with controller</t>
    </r>
  </si>
  <si>
    <r>
      <rPr>
        <b/>
        <sz val="5.5"/>
        <rFont val="Tahoma"/>
        <charset val="134"/>
      </rPr>
      <t>Network Switch</t>
    </r>
  </si>
  <si>
    <r>
      <rPr>
        <b/>
        <sz val="5.5"/>
        <rFont val="Tahoma"/>
        <charset val="134"/>
      </rPr>
      <t>Training</t>
    </r>
  </si>
  <si>
    <r>
      <rPr>
        <sz val="5.5"/>
        <rFont val="Tahoma"/>
        <charset val="134"/>
      </rPr>
      <t>lot</t>
    </r>
  </si>
  <si>
    <r>
      <rPr>
        <b/>
        <sz val="8"/>
        <rFont val="Arial"/>
        <charset val="134"/>
      </rPr>
      <t>TOTAL</t>
    </r>
  </si>
  <si>
    <t>REMARKS：</t>
  </si>
  <si>
    <t>1. ZTE's engineering services Scope is Survey, Delivery, HW Installation. Exclude commissioning.</t>
  </si>
  <si>
    <t>2. ZTE only provide the trainer and training for hardware part.What's more,our training quotation includes only the labor costs for 5 people for 4 days; it does not include costs for training venues or practical equipment. If your company requires related venues or equipment, please arrange them independently.</t>
  </si>
  <si>
    <t>3. The quotation vaild until May 4th, 2026.</t>
  </si>
  <si>
    <t>4. Currency:Offshore USD;Onshore PHP.</t>
  </si>
  <si>
    <t>5. The trade term is FOB.</t>
  </si>
  <si>
    <t>6. The Warranty period is 5 yrs.</t>
  </si>
  <si>
    <t>7. The Purchase Order must be issued within 10 days after the award. Any PO submitted beyond this deadline will not be accepted—ZTE reserves the right to reject such POs.</t>
  </si>
  <si>
    <r>
      <rPr>
        <sz val="10"/>
        <color rgb="FF000000"/>
        <rFont val="Times New Roman"/>
        <charset val="204"/>
      </rPr>
      <t>8. Offshore part Payment term: 20% down payment, 80% 60 days upon delivery</t>
    </r>
    <r>
      <rPr>
        <sz val="10"/>
        <color rgb="FF000000"/>
        <rFont val="宋体"/>
        <charset val="204"/>
      </rPr>
      <t>；</t>
    </r>
    <r>
      <rPr>
        <sz val="10"/>
        <color rgb="FF000000"/>
        <rFont val="Times New Roman"/>
        <charset val="204"/>
      </rPr>
      <t>Onshore part Payment term: 20% down payment, 80% 60days upon PAC.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</si>
</sst>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_ * #,##0.00_ ;_ * \-#,##0.00_ ;_ * &quot;-&quot;??_ ;_ @_ "/>
  </numFmts>
  <fonts count="14">
    <font>
      <sz val="10"/>
      <color rgb="FF000000"/>
      <name val="Times New Roman"/>
      <charset val="204"/>
    </font>
    <font>
      <b/>
      <sz val="7.5"/>
      <name val="Arial"/>
      <charset val="134"/>
    </font>
    <font>
      <b/>
      <sz val="6.5"/>
      <name val="Arial"/>
      <charset val="134"/>
    </font>
    <font>
      <b/>
      <sz val="6"/>
      <name val="Arial"/>
      <charset val="204"/>
    </font>
    <font>
      <b/>
      <sz val="5.5"/>
      <name val="Arial"/>
      <charset val="134"/>
    </font>
    <font>
      <sz val="5.5"/>
      <name val="Arial"/>
      <charset val="134"/>
    </font>
    <font>
      <b/>
      <sz val="5.5"/>
      <color rgb="FF000000"/>
      <name val="Tahoma"/>
      <charset val="134"/>
    </font>
    <font>
      <b/>
      <sz val="5.5"/>
      <name val="Tahoma"/>
      <charset val="134"/>
    </font>
    <font>
      <sz val="5.5"/>
      <color rgb="FF000000"/>
      <name val="Tahoma"/>
      <charset val="134"/>
    </font>
    <font>
      <sz val="5.5"/>
      <name val="Tahoma"/>
      <charset val="134"/>
    </font>
    <font>
      <b/>
      <sz val="8"/>
      <name val="Arial"/>
      <charset val="134"/>
    </font>
    <font>
      <b/>
      <i/>
      <sz val="6.5"/>
      <name val="Arial"/>
      <charset val="204"/>
    </font>
    <font>
      <b/>
      <i/>
      <sz val="6.5"/>
      <name val="宋体"/>
      <charset val="204"/>
    </font>
    <font>
      <sz val="10"/>
      <color rgb="FF000000"/>
      <name val="宋体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</borders>
  <cellStyleXfs count="1">
    <xf numFmtId="0" fontId="0" fillId="0" borderId="0"/>
  </cellStyleXfs>
  <cellXfs count="61">
    <xf numFmtId="0" fontId="0" fillId="0" borderId="0" xfId="0" applyAlignment="1">
      <alignment horizontal="left" vertical="top"/>
    </xf>
    <xf numFmtId="0" fontId="3" fillId="2" borderId="12" xfId="0" applyFont="1" applyFill="1" applyBorder="1" applyAlignment="1">
      <alignment horizontal="center" vertical="top" wrapText="1"/>
    </xf>
    <xf numFmtId="0" fontId="4" fillId="2" borderId="12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top" wrapText="1"/>
    </xf>
    <xf numFmtId="0" fontId="5" fillId="2" borderId="12" xfId="0" applyFont="1" applyFill="1" applyBorder="1" applyAlignment="1">
      <alignment horizontal="center" vertical="top" wrapText="1"/>
    </xf>
    <xf numFmtId="1" fontId="6" fillId="0" borderId="18" xfId="0" applyNumberFormat="1" applyFont="1" applyBorder="1" applyAlignment="1">
      <alignment horizontal="left" vertical="top" indent="1" shrinkToFit="1"/>
    </xf>
    <xf numFmtId="0" fontId="0" fillId="0" borderId="18" xfId="0" applyBorder="1" applyAlignment="1">
      <alignment horizontal="left" wrapText="1"/>
    </xf>
    <xf numFmtId="0" fontId="0" fillId="0" borderId="22" xfId="0" applyBorder="1" applyAlignment="1">
      <alignment horizontal="left" wrapText="1"/>
    </xf>
    <xf numFmtId="0" fontId="7" fillId="0" borderId="12" xfId="0" applyFont="1" applyBorder="1" applyAlignment="1">
      <alignment horizontal="left" vertical="top" wrapText="1"/>
    </xf>
    <xf numFmtId="0" fontId="9" fillId="0" borderId="20" xfId="0" applyFont="1" applyBorder="1" applyAlignment="1">
      <alignment horizontal="center" vertical="top" wrapText="1"/>
    </xf>
    <xf numFmtId="0" fontId="0" fillId="0" borderId="12" xfId="0" applyBorder="1" applyAlignment="1">
      <alignment horizontal="left" wrapText="1"/>
    </xf>
    <xf numFmtId="166" fontId="0" fillId="0" borderId="12" xfId="0" applyNumberFormat="1" applyBorder="1" applyAlignment="1">
      <alignment horizontal="left" wrapText="1"/>
    </xf>
    <xf numFmtId="0" fontId="0" fillId="0" borderId="18" xfId="0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11" fillId="2" borderId="18" xfId="0" applyFont="1" applyFill="1" applyBorder="1" applyAlignment="1">
      <alignment horizontal="center" vertical="top" wrapText="1"/>
    </xf>
    <xf numFmtId="0" fontId="3" fillId="2" borderId="28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5" fillId="2" borderId="28" xfId="0" applyFont="1" applyFill="1" applyBorder="1" applyAlignment="1">
      <alignment horizontal="center" vertical="top" wrapText="1"/>
    </xf>
    <xf numFmtId="166" fontId="0" fillId="0" borderId="18" xfId="0" applyNumberFormat="1" applyBorder="1" applyAlignment="1">
      <alignment horizontal="left" wrapText="1"/>
    </xf>
    <xf numFmtId="166" fontId="0" fillId="0" borderId="28" xfId="0" applyNumberFormat="1" applyBorder="1" applyAlignment="1">
      <alignment horizontal="left" wrapText="1"/>
    </xf>
    <xf numFmtId="0" fontId="0" fillId="0" borderId="28" xfId="0" applyBorder="1" applyAlignment="1">
      <alignment horizontal="left" wrapText="1"/>
    </xf>
    <xf numFmtId="166" fontId="0" fillId="0" borderId="30" xfId="0" applyNumberFormat="1" applyBorder="1" applyAlignment="1">
      <alignment horizontal="left" vertical="center" wrapText="1"/>
    </xf>
    <xf numFmtId="166" fontId="0" fillId="0" borderId="31" xfId="0" applyNumberFormat="1" applyBorder="1" applyAlignment="1">
      <alignment horizontal="left" vertical="center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26" xfId="0" applyFont="1" applyFill="1" applyBorder="1" applyAlignment="1">
      <alignment horizontal="center" vertical="top" wrapText="1"/>
    </xf>
    <xf numFmtId="0" fontId="1" fillId="2" borderId="27" xfId="0" applyFont="1" applyFill="1" applyBorder="1" applyAlignment="1">
      <alignment horizontal="center" vertical="top" wrapText="1"/>
    </xf>
    <xf numFmtId="0" fontId="5" fillId="2" borderId="18" xfId="0" applyFont="1" applyFill="1" applyBorder="1" applyAlignment="1">
      <alignment horizontal="center" vertical="top" wrapText="1"/>
    </xf>
    <xf numFmtId="0" fontId="5" fillId="2" borderId="19" xfId="0" applyFont="1" applyFill="1" applyBorder="1" applyAlignment="1">
      <alignment horizontal="center" vertical="top" wrapText="1"/>
    </xf>
    <xf numFmtId="0" fontId="5" fillId="2" borderId="20" xfId="0" applyFont="1" applyFill="1" applyBorder="1" applyAlignment="1">
      <alignment horizontal="center" vertical="top" wrapText="1"/>
    </xf>
    <xf numFmtId="0" fontId="7" fillId="0" borderId="21" xfId="0" applyFont="1" applyBorder="1" applyAlignment="1">
      <alignment horizontal="left" vertical="top" wrapText="1"/>
    </xf>
    <xf numFmtId="0" fontId="7" fillId="0" borderId="19" xfId="0" applyFont="1" applyBorder="1" applyAlignment="1">
      <alignment horizontal="left" vertical="top" wrapText="1"/>
    </xf>
    <xf numFmtId="0" fontId="7" fillId="0" borderId="29" xfId="0" applyFont="1" applyBorder="1" applyAlignment="1">
      <alignment horizontal="left" vertical="top" wrapText="1"/>
    </xf>
    <xf numFmtId="1" fontId="8" fillId="0" borderId="18" xfId="0" applyNumberFormat="1" applyFont="1" applyBorder="1" applyAlignment="1">
      <alignment horizontal="left" vertical="top" indent="3" shrinkToFit="1"/>
    </xf>
    <xf numFmtId="1" fontId="8" fillId="0" borderId="19" xfId="0" applyNumberFormat="1" applyFont="1" applyBorder="1" applyAlignment="1">
      <alignment horizontal="left" vertical="top" indent="3" shrinkToFit="1"/>
    </xf>
    <xf numFmtId="0" fontId="10" fillId="0" borderId="24" xfId="0" applyFont="1" applyBorder="1" applyAlignment="1">
      <alignment horizontal="right" vertical="center" wrapText="1"/>
    </xf>
    <xf numFmtId="0" fontId="10" fillId="0" borderId="25" xfId="0" applyFont="1" applyBorder="1" applyAlignment="1">
      <alignment horizontal="righ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13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6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2" fillId="2" borderId="17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 indent="2"/>
    </xf>
    <xf numFmtId="0" fontId="2" fillId="2" borderId="5" xfId="0" applyFont="1" applyFill="1" applyBorder="1" applyAlignment="1">
      <alignment horizontal="left" vertical="center" wrapText="1" indent="2"/>
    </xf>
    <xf numFmtId="0" fontId="2" fillId="2" borderId="6" xfId="0" applyFont="1" applyFill="1" applyBorder="1" applyAlignment="1">
      <alignment horizontal="left" vertical="center" wrapText="1" indent="2"/>
    </xf>
    <xf numFmtId="0" fontId="2" fillId="2" borderId="8" xfId="0" applyFont="1" applyFill="1" applyBorder="1" applyAlignment="1">
      <alignment horizontal="left" vertical="center" wrapText="1" indent="2"/>
    </xf>
    <xf numFmtId="0" fontId="2" fillId="2" borderId="0" xfId="0" applyFont="1" applyFill="1" applyAlignment="1">
      <alignment horizontal="left" vertical="center" wrapText="1" indent="2"/>
    </xf>
    <xf numFmtId="0" fontId="2" fillId="2" borderId="11" xfId="0" applyFont="1" applyFill="1" applyBorder="1" applyAlignment="1">
      <alignment horizontal="left" vertical="center" wrapText="1" indent="2"/>
    </xf>
    <xf numFmtId="0" fontId="2" fillId="2" borderId="13" xfId="0" applyFont="1" applyFill="1" applyBorder="1" applyAlignment="1">
      <alignment horizontal="left" vertical="center" wrapText="1" indent="2"/>
    </xf>
    <xf numFmtId="0" fontId="2" fillId="2" borderId="14" xfId="0" applyFont="1" applyFill="1" applyBorder="1" applyAlignment="1">
      <alignment horizontal="left" vertical="center" wrapText="1" indent="2"/>
    </xf>
    <xf numFmtId="0" fontId="2" fillId="2" borderId="15" xfId="0" applyFont="1" applyFill="1" applyBorder="1" applyAlignment="1">
      <alignment horizontal="left" vertical="center" wrapText="1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26"/>
  <sheetViews>
    <sheetView tabSelected="1" zoomScale="130" zoomScaleNormal="130" workbookViewId="0">
      <selection activeCell="M4" sqref="M4"/>
    </sheetView>
  </sheetViews>
  <sheetFormatPr defaultColWidth="9" defaultRowHeight="13"/>
  <cols>
    <col min="1" max="1" width="5.796875" customWidth="1"/>
    <col min="2" max="2" width="6" customWidth="1"/>
    <col min="3" max="3" width="36" customWidth="1"/>
    <col min="4" max="4" width="4.8984375" customWidth="1"/>
    <col min="5" max="5" width="4.19921875" customWidth="1"/>
    <col min="6" max="6" width="7.09765625" customWidth="1"/>
    <col min="7" max="7" width="8" customWidth="1"/>
    <col min="8" max="8" width="14" customWidth="1"/>
    <col min="9" max="10" width="13.796875" customWidth="1"/>
    <col min="11" max="11" width="14.8984375" customWidth="1"/>
    <col min="12" max="12" width="4.19921875" customWidth="1"/>
  </cols>
  <sheetData>
    <row r="2" spans="1:12" ht="11" customHeight="1">
      <c r="A2" s="40" t="s">
        <v>0</v>
      </c>
      <c r="B2" s="43" t="s">
        <v>1</v>
      </c>
      <c r="C2" s="46" t="s">
        <v>2</v>
      </c>
      <c r="D2" s="52" t="s">
        <v>3</v>
      </c>
      <c r="E2" s="53"/>
      <c r="F2" s="54"/>
      <c r="G2" s="49" t="s">
        <v>4</v>
      </c>
      <c r="H2" s="27" t="s">
        <v>5</v>
      </c>
      <c r="I2" s="28"/>
      <c r="J2" s="27" t="s">
        <v>6</v>
      </c>
      <c r="K2" s="29"/>
      <c r="L2" s="14"/>
    </row>
    <row r="3" spans="1:12" ht="47" customHeight="1">
      <c r="A3" s="41"/>
      <c r="B3" s="44"/>
      <c r="C3" s="47"/>
      <c r="D3" s="55"/>
      <c r="E3" s="56"/>
      <c r="F3" s="57"/>
      <c r="G3" s="50"/>
      <c r="H3" s="1" t="s">
        <v>7</v>
      </c>
      <c r="I3" s="15" t="s">
        <v>8</v>
      </c>
      <c r="J3" s="1" t="s">
        <v>7</v>
      </c>
      <c r="K3" s="16" t="s">
        <v>9</v>
      </c>
      <c r="L3" s="17"/>
    </row>
    <row r="4" spans="1:12" ht="22" customHeight="1">
      <c r="A4" s="41"/>
      <c r="B4" s="44"/>
      <c r="C4" s="47"/>
      <c r="D4" s="58"/>
      <c r="E4" s="59"/>
      <c r="F4" s="60"/>
      <c r="G4" s="50"/>
      <c r="H4" s="2" t="s">
        <v>10</v>
      </c>
      <c r="I4" s="18" t="s">
        <v>11</v>
      </c>
      <c r="J4" s="2" t="s">
        <v>10</v>
      </c>
      <c r="K4" s="19" t="s">
        <v>11</v>
      </c>
      <c r="L4" s="20"/>
    </row>
    <row r="5" spans="1:12" ht="11" customHeight="1">
      <c r="A5" s="42"/>
      <c r="B5" s="45"/>
      <c r="C5" s="48"/>
      <c r="D5" s="30" t="s">
        <v>12</v>
      </c>
      <c r="E5" s="31"/>
      <c r="F5" s="32"/>
      <c r="G5" s="51"/>
      <c r="H5" s="4" t="s">
        <v>13</v>
      </c>
      <c r="I5" s="3" t="s">
        <v>14</v>
      </c>
      <c r="J5" s="4" t="s">
        <v>15</v>
      </c>
      <c r="K5" s="21" t="s">
        <v>16</v>
      </c>
      <c r="L5" s="14"/>
    </row>
    <row r="6" spans="1:12" ht="11" customHeight="1">
      <c r="A6" s="5">
        <v>1</v>
      </c>
      <c r="B6" s="33" t="s">
        <v>17</v>
      </c>
      <c r="C6" s="34"/>
      <c r="D6" s="34"/>
      <c r="E6" s="34"/>
      <c r="F6" s="34"/>
      <c r="G6" s="34"/>
      <c r="H6" s="34"/>
      <c r="I6" s="34"/>
      <c r="J6" s="34"/>
      <c r="K6" s="35"/>
      <c r="L6" s="14"/>
    </row>
    <row r="7" spans="1:12" ht="11" customHeight="1">
      <c r="A7" s="6"/>
      <c r="B7" s="7"/>
      <c r="C7" s="8" t="s">
        <v>18</v>
      </c>
      <c r="D7" s="36">
        <v>2</v>
      </c>
      <c r="E7" s="37"/>
      <c r="F7" s="9" t="s">
        <v>19</v>
      </c>
      <c r="G7" s="10"/>
      <c r="H7" s="11">
        <v>116115.03535388299</v>
      </c>
      <c r="I7" s="22">
        <v>19231.680130537599</v>
      </c>
      <c r="J7" s="11">
        <v>232230.070707765</v>
      </c>
      <c r="K7" s="23">
        <v>38463.360261075199</v>
      </c>
      <c r="L7" s="14"/>
    </row>
    <row r="8" spans="1:12" ht="10" customHeight="1">
      <c r="A8" s="5">
        <v>2</v>
      </c>
      <c r="B8" s="33" t="s">
        <v>17</v>
      </c>
      <c r="C8" s="34"/>
      <c r="D8" s="34"/>
      <c r="E8" s="34"/>
      <c r="F8" s="34"/>
      <c r="G8" s="34"/>
      <c r="H8" s="34"/>
      <c r="I8" s="34"/>
      <c r="J8" s="34"/>
      <c r="K8" s="35"/>
      <c r="L8" s="14"/>
    </row>
    <row r="9" spans="1:12" ht="11" customHeight="1">
      <c r="A9" s="6"/>
      <c r="B9" s="7"/>
      <c r="C9" s="8" t="s">
        <v>20</v>
      </c>
      <c r="D9" s="36">
        <v>2</v>
      </c>
      <c r="E9" s="37"/>
      <c r="F9" s="9" t="s">
        <v>19</v>
      </c>
      <c r="G9" s="10"/>
      <c r="H9" s="11">
        <v>70175.997770551199</v>
      </c>
      <c r="I9" s="22">
        <v>19231.680130537599</v>
      </c>
      <c r="J9" s="11">
        <v>140351.99554110199</v>
      </c>
      <c r="K9" s="23">
        <v>38463.360261075199</v>
      </c>
      <c r="L9" s="14"/>
    </row>
    <row r="10" spans="1:12" ht="11" customHeight="1">
      <c r="A10" s="5">
        <v>3</v>
      </c>
      <c r="B10" s="33" t="s">
        <v>21</v>
      </c>
      <c r="C10" s="34"/>
      <c r="D10" s="34"/>
      <c r="E10" s="34"/>
      <c r="F10" s="34"/>
      <c r="G10" s="34"/>
      <c r="H10" s="34"/>
      <c r="I10" s="34"/>
      <c r="J10" s="34"/>
      <c r="K10" s="35"/>
      <c r="L10" s="14"/>
    </row>
    <row r="11" spans="1:12" ht="11" customHeight="1">
      <c r="A11" s="6"/>
      <c r="B11" s="7"/>
      <c r="C11" s="8" t="s">
        <v>21</v>
      </c>
      <c r="D11" s="36">
        <v>2</v>
      </c>
      <c r="E11" s="37"/>
      <c r="F11" s="9" t="s">
        <v>19</v>
      </c>
      <c r="G11" s="10"/>
      <c r="H11" s="11">
        <v>105392.068696364</v>
      </c>
      <c r="I11" s="22">
        <v>24842.3897476128</v>
      </c>
      <c r="J11" s="11">
        <v>210784.13739272801</v>
      </c>
      <c r="K11" s="23">
        <v>49684.779495225499</v>
      </c>
      <c r="L11" s="14"/>
    </row>
    <row r="12" spans="1:12" ht="11" customHeight="1">
      <c r="A12" s="5">
        <v>4</v>
      </c>
      <c r="B12" s="33" t="s">
        <v>22</v>
      </c>
      <c r="C12" s="34"/>
      <c r="D12" s="34"/>
      <c r="E12" s="34"/>
      <c r="F12" s="34"/>
      <c r="G12" s="34"/>
      <c r="H12" s="34"/>
      <c r="I12" s="34"/>
      <c r="J12" s="34"/>
      <c r="K12" s="35"/>
      <c r="L12" s="14"/>
    </row>
    <row r="13" spans="1:12" ht="11" customHeight="1">
      <c r="A13" s="6"/>
      <c r="B13" s="7"/>
      <c r="C13" s="8" t="s">
        <v>22</v>
      </c>
      <c r="D13" s="36">
        <v>4</v>
      </c>
      <c r="E13" s="37"/>
      <c r="F13" s="9" t="s">
        <v>19</v>
      </c>
      <c r="G13" s="10"/>
      <c r="H13" s="11">
        <v>818.61281627977098</v>
      </c>
      <c r="I13" s="22">
        <v>51012.847297205197</v>
      </c>
      <c r="J13" s="11">
        <v>3274.4512651190798</v>
      </c>
      <c r="K13" s="23">
        <v>204051.38918882099</v>
      </c>
      <c r="L13" s="14"/>
    </row>
    <row r="14" spans="1:12" ht="11" customHeight="1">
      <c r="A14" s="5">
        <v>5</v>
      </c>
      <c r="B14" s="33" t="s">
        <v>23</v>
      </c>
      <c r="C14" s="34"/>
      <c r="D14" s="34"/>
      <c r="E14" s="34"/>
      <c r="F14" s="34"/>
      <c r="G14" s="34"/>
      <c r="H14" s="34"/>
      <c r="I14" s="34"/>
      <c r="J14" s="34"/>
      <c r="K14" s="35"/>
      <c r="L14" s="14"/>
    </row>
    <row r="15" spans="1:12" ht="13" customHeight="1">
      <c r="A15" s="6"/>
      <c r="B15" s="7"/>
      <c r="C15" s="8" t="s">
        <v>23</v>
      </c>
      <c r="D15" s="36">
        <v>1</v>
      </c>
      <c r="E15" s="37"/>
      <c r="F15" s="9" t="s">
        <v>24</v>
      </c>
      <c r="G15" s="10"/>
      <c r="H15" s="11">
        <v>7629.6082100960703</v>
      </c>
      <c r="I15" s="6"/>
      <c r="J15" s="11">
        <v>7629.6082100960703</v>
      </c>
      <c r="K15" s="24"/>
      <c r="L15" s="14"/>
    </row>
    <row r="16" spans="1:12" ht="17" customHeight="1">
      <c r="A16" s="12"/>
      <c r="B16" s="13"/>
      <c r="C16" s="38" t="s">
        <v>25</v>
      </c>
      <c r="D16" s="39"/>
      <c r="E16" s="39"/>
      <c r="F16" s="39"/>
      <c r="G16" s="39"/>
      <c r="H16" s="39"/>
      <c r="I16" s="39"/>
      <c r="J16" s="25">
        <f>ROUND(J7+J9+J11+J13+J15,2)</f>
        <v>594270.26</v>
      </c>
      <c r="K16" s="26">
        <f>ROUND(K7+K9+K11+K13,2)</f>
        <v>330662.89</v>
      </c>
      <c r="L16" s="20"/>
    </row>
    <row r="18" spans="1:1">
      <c r="A18" t="s">
        <v>26</v>
      </c>
    </row>
    <row r="19" spans="1:1">
      <c r="A19" t="s">
        <v>27</v>
      </c>
    </row>
    <row r="20" spans="1:1">
      <c r="A20" t="s">
        <v>28</v>
      </c>
    </row>
    <row r="21" spans="1:1">
      <c r="A21" t="s">
        <v>29</v>
      </c>
    </row>
    <row r="22" spans="1:1">
      <c r="A22" t="s">
        <v>30</v>
      </c>
    </row>
    <row r="23" spans="1:1">
      <c r="A23" t="s">
        <v>31</v>
      </c>
    </row>
    <row r="24" spans="1:1">
      <c r="A24" t="s">
        <v>32</v>
      </c>
    </row>
    <row r="25" spans="1:1">
      <c r="A25" t="s">
        <v>33</v>
      </c>
    </row>
    <row r="26" spans="1:1">
      <c r="A26" t="s">
        <v>34</v>
      </c>
    </row>
  </sheetData>
  <mergeCells count="19">
    <mergeCell ref="D13:E13"/>
    <mergeCell ref="B14:K14"/>
    <mergeCell ref="D15:E15"/>
    <mergeCell ref="C16:I16"/>
    <mergeCell ref="A2:A5"/>
    <mergeCell ref="B2:B5"/>
    <mergeCell ref="C2:C5"/>
    <mergeCell ref="G2:G5"/>
    <mergeCell ref="D2:F4"/>
    <mergeCell ref="B8:K8"/>
    <mergeCell ref="D9:E9"/>
    <mergeCell ref="B10:K10"/>
    <mergeCell ref="D11:E11"/>
    <mergeCell ref="B12:K12"/>
    <mergeCell ref="H2:I2"/>
    <mergeCell ref="J2:K2"/>
    <mergeCell ref="D5:F5"/>
    <mergeCell ref="B6:K6"/>
    <mergeCell ref="D7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Gonzaga, Maria Fatima Q.</dc:creator>
  <cp:lastModifiedBy>Ace</cp:lastModifiedBy>
  <dcterms:created xsi:type="dcterms:W3CDTF">2026-04-16T03:16:00Z</dcterms:created>
  <dcterms:modified xsi:type="dcterms:W3CDTF">2026-04-21T01:21:55Z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2026-02-24T00:00:00Z</vt:filetime>
  </property>
  <property fmtid="{D5CDD505-2E9C-101B-9397-08002B2CF9AE}" pid="3" name="Creator">
    <vt:lpwstr>Microsoft® Excel® for Microsoft 365</vt:lpwstr>
  </property>
  <property fmtid="{D5CDD505-2E9C-101B-9397-08002B2CF9AE}" pid="4" name="LastSaved">
    <vt:filetime>2026-04-16T00:00:00Z</vt:filetime>
  </property>
  <property fmtid="{D5CDD505-2E9C-101B-9397-08002B2CF9AE}" pid="5" name="MSIP_Label_e2ea549a-6480-48ba-b46a-e40c37db6d0d_ActionId">
    <vt:lpwstr>463b5853-f7e6-453b-b311-b6c69b87117c</vt:lpwstr>
  </property>
  <property fmtid="{D5CDD505-2E9C-101B-9397-08002B2CF9AE}" pid="6" name="MSIP_Label_e2ea549a-6480-48ba-b46a-e40c37db6d0d_ContentBits">
    <vt:lpwstr>0</vt:lpwstr>
  </property>
  <property fmtid="{D5CDD505-2E9C-101B-9397-08002B2CF9AE}" pid="7" name="MSIP_Label_e2ea549a-6480-48ba-b46a-e40c37db6d0d_Enabled">
    <vt:lpwstr>true</vt:lpwstr>
  </property>
  <property fmtid="{D5CDD505-2E9C-101B-9397-08002B2CF9AE}" pid="8" name="MSIP_Label_e2ea549a-6480-48ba-b46a-e40c37db6d0d_Method">
    <vt:lpwstr>Privileged</vt:lpwstr>
  </property>
  <property fmtid="{D5CDD505-2E9C-101B-9397-08002B2CF9AE}" pid="9" name="MSIP_Label_e2ea549a-6480-48ba-b46a-e40c37db6d0d_Name">
    <vt:lpwstr>e2ea549a-6480-48ba-b46a-e40c37db6d0d</vt:lpwstr>
  </property>
  <property fmtid="{D5CDD505-2E9C-101B-9397-08002B2CF9AE}" pid="10" name="MSIP_Label_e2ea549a-6480-48ba-b46a-e40c37db6d0d_SetDate">
    <vt:lpwstr>2023-01-03T06:41:54Z</vt:lpwstr>
  </property>
  <property fmtid="{D5CDD505-2E9C-101B-9397-08002B2CF9AE}" pid="11" name="MSIP_Label_e2ea549a-6480-48ba-b46a-e40c37db6d0d_SiteId">
    <vt:lpwstr>058683c3-bd9f-45ef-83cf-b840c8e536bf</vt:lpwstr>
  </property>
  <property fmtid="{D5CDD505-2E9C-101B-9397-08002B2CF9AE}" pid="12" name="Producer">
    <vt:lpwstr>Microsoft® Excel® for Microsoft 365</vt:lpwstr>
  </property>
  <property fmtid="{D5CDD505-2E9C-101B-9397-08002B2CF9AE}" pid="13" name="ICV">
    <vt:lpwstr>EDBA15B5D8674A6CB409FA7BB1B786FC</vt:lpwstr>
  </property>
  <property fmtid="{D5CDD505-2E9C-101B-9397-08002B2CF9AE}" pid="14" name="KSOProductBuildVer">
    <vt:lpwstr>2052-11.8.2.12085</vt:lpwstr>
  </property>
</Properties>
</file>